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_ЦЕНЫ" sheetId="1" r:id="rId1"/>
    <sheet name="ДОХОДНОСТИ" sheetId="2" r:id="rId2"/>
    <sheet name="СТАТИСТИКА" sheetId="3" r:id="rId3"/>
    <sheet name="ПОРТФЕЛЬ" sheetId="4" r:id="rId4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dimension ref="A1:F1"/>
  <sheetData>
    <row r="1">
      <c r="A1" t="inlineStr">
        <is>
          <t>Дата</t>
        </is>
      </c>
      <c r="B1" t="inlineStr">
        <is>
          <t>Актив_1</t>
        </is>
      </c>
      <c r="C1" t="inlineStr">
        <is>
          <t>Актив_2</t>
        </is>
      </c>
      <c r="D1" t="inlineStr">
        <is>
          <t>Актив_3</t>
        </is>
      </c>
      <c r="E1" t="inlineStr">
        <is>
          <t>Актив_4</t>
        </is>
      </c>
      <c r="F1" t="inlineStr">
        <is>
          <t>Актив_5</t>
        </is>
      </c>
    </row>
    <row r="2"/>
    <row r="3"/>
  </sheetData>
</worksheet>
</file>

<file path=xl/worksheets/sheet2.xml><?xml version="1.0" encoding="utf-8"?>
<worksheet xmlns="http://schemas.openxmlformats.org/spreadsheetml/2006/main">
  <dimension ref="A1:F2"/>
  <sheetData>
    <row r="1">
      <c r="A1" t="inlineStr">
        <is>
          <t>Дата</t>
        </is>
      </c>
      <c r="B1" t="inlineStr">
        <is>
          <t>Доходность_1</t>
        </is>
      </c>
      <c r="C1" t="inlineStr">
        <is>
          <t>Доходность_2</t>
        </is>
      </c>
      <c r="D1" t="inlineStr">
        <is>
          <t>Доходность_3</t>
        </is>
      </c>
      <c r="E1" t="inlineStr">
        <is>
          <t>Доходность_4</t>
        </is>
      </c>
      <c r="F1" t="inlineStr">
        <is>
          <t>Доходность_5</t>
        </is>
      </c>
    </row>
    <row r="2">
      <c r="A2">
        <f>'ДАННЫЕ_ЦЕНЫ'!A2</f>
      </c>
      <c r="B2">
        <f>LN('ДАННЫЕ_ЦЕНЫ'!B2/'ДАННЫЕ_ЦЕНЫ'!B1)</f>
      </c>
      <c r="C2">
        <f>LN('ДАННЫЕ_ЦЕНЫ'!C2/'ДАННЫЕ_ЦЕНЫ'!C1)</f>
      </c>
      <c r="D2">
        <f>LN('ДАННЫЕ_ЦЕНЫ'!D2/'ДАННЫЕ_ЦЕНЫ'!D1)</f>
      </c>
      <c r="E2">
        <f>LN('ДАННЫЕ_ЦЕНЫ'!E2/'ДАННЫЕ_ЦЕНЫ'!E1)</f>
      </c>
      <c r="F2">
        <f>LN('ДАННЫЕ_ЦЕНЫ'!F2/'ДАННЫЕ_ЦЕНЫ'!F1)</f>
      </c>
    </row>
    <row r="3"/>
    <row r="4"/>
  </sheetData>
</worksheet>
</file>

<file path=xl/worksheets/sheet3.xml><?xml version="1.0" encoding="utf-8"?>
<worksheet xmlns="http://schemas.openxmlformats.org/spreadsheetml/2006/main">
  <dimension ref="A1:K27"/>
  <sheetData>
    <row r="1">
      <c r="A1" t="inlineStr">
        <is>
          <t>Метрика</t>
        </is>
      </c>
      <c r="B1" t="inlineStr">
        <is>
          <t>Актив_1</t>
        </is>
      </c>
      <c r="C1" t="inlineStr">
        <is>
          <t>Актив_2</t>
        </is>
      </c>
      <c r="D1" t="inlineStr">
        <is>
          <t>Актив_3</t>
        </is>
      </c>
      <c r="E1" t="inlineStr">
        <is>
          <t>Актив_4</t>
        </is>
      </c>
      <c r="F1" t="inlineStr">
        <is>
          <t>Актив_5</t>
        </is>
      </c>
    </row>
    <row r="2">
      <c r="A2" t="inlineStr">
        <is>
          <t>Средняя_доходность_дн</t>
        </is>
      </c>
      <c r="B2">
        <f>AVERAGE('ДОХОДНОСТИ'!B:B)</f>
      </c>
      <c r="C2">
        <f>AVERAGE('ДОХОДНОСТИ'!C:C)</f>
      </c>
      <c r="D2">
        <f>AVERAGE('ДОХОДНОСТИ'!D:D)</f>
      </c>
      <c r="E2">
        <f>AVERAGE('ДОХОДНОСТИ'!E:E)</f>
      </c>
      <c r="F2">
        <f>AVERAGE('ДОХОДНОСТИ'!F:F)</f>
      </c>
    </row>
    <row r="3">
      <c r="A3" t="inlineStr">
        <is>
          <t>Волатильность_дн</t>
        </is>
      </c>
      <c r="B3">
        <f>STDEV.S('ДОХОДНОСТИ'!B:B)</f>
      </c>
      <c r="C3">
        <f>STDEV.S('ДОХОДНОСТИ'!C:C)</f>
      </c>
      <c r="D3">
        <f>STDEV.S('ДОХОДНОСТИ'!D:D)</f>
      </c>
      <c r="E3">
        <f>STDEV.S('ДОХОДНОСТИ'!E:E)</f>
      </c>
      <c r="F3">
        <f>STDEV.S('ДОХОДНОСТИ'!F:F)</f>
      </c>
    </row>
    <row r="4">
      <c r="A4" t="inlineStr">
        <is>
          <t>Средняя_доходность_год</t>
        </is>
      </c>
      <c r="B4">
        <f>B2*252</f>
      </c>
      <c r="C4">
        <f>C2*252</f>
      </c>
      <c r="D4">
        <f>D2*252</f>
      </c>
      <c r="E4">
        <f>E2*252</f>
      </c>
      <c r="F4">
        <f>F2*252</f>
      </c>
    </row>
    <row r="5">
      <c r="A5" t="inlineStr">
        <is>
          <t>Волатильность_год</t>
        </is>
      </c>
      <c r="B5">
        <f>B3*SQRT(252)</f>
      </c>
      <c r="C5">
        <f>C3*SQRT(252)</f>
      </c>
      <c r="D5">
        <f>D3*SQRT(252)</f>
      </c>
      <c r="E5">
        <f>E3*SQRT(252)</f>
      </c>
      <c r="F5">
        <f>F3*SQRT(252)</f>
      </c>
    </row>
    <row r="6">
      <c r="A6" t="inlineStr">
        <is>
          <t>Коэф_Шарпа_год</t>
        </is>
      </c>
      <c r="B6">
        <f>(B4-$B$9)/B5</f>
      </c>
      <c r="C6">
        <f>(C4-$B$9)/C5</f>
      </c>
      <c r="D6">
        <f>(D4-$B$9)/D5</f>
      </c>
      <c r="E6">
        <f>(E4-$B$9)/E5</f>
      </c>
      <c r="F6">
        <f>(F4-$B$9)/F5</f>
      </c>
    </row>
    <row r="7"/>
    <row r="8">
      <c r="A8" t="inlineStr">
        <is>
          <t>Входные_параметры</t>
        </is>
      </c>
    </row>
    <row r="9">
      <c r="A9" t="inlineStr">
        <is>
          <t>Безрисковая_ставка_год</t>
        </is>
      </c>
      <c r="B9">
        <v>0.05</v>
      </c>
    </row>
    <row r="10">
      <c r="A10" t="inlineStr">
        <is>
          <t>Целевая_доходность_год</t>
        </is>
      </c>
      <c r="B10">
        <v>0.15</v>
      </c>
    </row>
    <row r="11">
      <c r="A11" t="inlineStr">
        <is>
          <t>Целевой_риск_год</t>
        </is>
      </c>
      <c r="B11">
        <v>0.20</v>
      </c>
    </row>
    <row r="12"/>
    <row r="13">
      <c r="A13" t="inlineStr">
        <is>
          <t>Корреляционная_матрица</t>
        </is>
      </c>
    </row>
    <row r="14">
      <c r="B14" t="inlineStr">
        <is>
          <t>Актив_1</t>
        </is>
      </c>
      <c r="C14" t="inlineStr">
        <is>
          <t>Актив_2</t>
        </is>
      </c>
      <c r="D14" t="inlineStr">
        <is>
          <t>Актив_3</t>
        </is>
      </c>
      <c r="E14" t="inlineStr">
        <is>
          <t>Актив_4</t>
        </is>
      </c>
      <c r="F14" t="inlineStr">
        <is>
          <t>Актив_5</t>
        </is>
      </c>
    </row>
    <row r="15">
      <c r="A15" t="inlineStr">
        <is>
          <t>Актив_1</t>
        </is>
      </c>
      <c r="B15">
        <f>CORREL('ДОХОДНОСТИ'!B:B</f>
      </c>
      <c r="C15" t="inlineStr">
        <is>
          <t>'ДОХОДНОСТИ'!B:B)</t>
        </is>
      </c>
      <c r="D15">
        <f>CORREL('ДОХОДНОСТИ'!B:B</f>
      </c>
      <c r="E15" t="inlineStr">
        <is>
          <t>'ДОХОДНОСТИ'!C:C)</t>
        </is>
      </c>
      <c r="F15">
        <f>CORREL('ДОХОДНОСТИ'!B:B</f>
      </c>
      <c r="G15" t="inlineStr">
        <is>
          <t>'ДОХОДНОСТИ'!D:D)</t>
        </is>
      </c>
      <c r="H15">
        <f>CORREL('ДОХОДНОСТИ'!B:B</f>
      </c>
      <c r="I15" t="inlineStr">
        <is>
          <t>'ДОХОДНОСТИ'!E:E)</t>
        </is>
      </c>
      <c r="J15">
        <f>CORREL('ДОХОДНОСТИ'!B:B</f>
      </c>
      <c r="K15" t="inlineStr">
        <is>
          <t>'ДОХОДНОСТИ'!F:F)</t>
        </is>
      </c>
    </row>
    <row r="16">
      <c r="A16" t="inlineStr">
        <is>
          <t>Актив_2</t>
        </is>
      </c>
      <c r="B16">
        <f>CORREL('ДОХОДНОСТИ'!C:C</f>
      </c>
      <c r="C16" t="inlineStr">
        <is>
          <t>'ДОХОДНОСТИ'!B:B)</t>
        </is>
      </c>
      <c r="D16">
        <f>CORREL('ДОХОДНОСТИ'!C:C</f>
      </c>
      <c r="E16" t="inlineStr">
        <is>
          <t>'ДОХОДНОСТИ'!C:C)</t>
        </is>
      </c>
      <c r="F16">
        <f>CORREL('ДОХОДНОСТИ'!C:C</f>
      </c>
      <c r="G16" t="inlineStr">
        <is>
          <t>'ДОХОДНОСТИ'!D:D)</t>
        </is>
      </c>
      <c r="H16">
        <f>CORREL('ДОХОДНОСТИ'!C:C</f>
      </c>
      <c r="I16" t="inlineStr">
        <is>
          <t>'ДОХОДНОСТИ'!E:E)</t>
        </is>
      </c>
      <c r="J16">
        <f>CORREL('ДОХОДНОСТИ'!C:C</f>
      </c>
      <c r="K16" t="inlineStr">
        <is>
          <t>'ДОХОДНОСТИ'!F:F)</t>
        </is>
      </c>
    </row>
    <row r="17">
      <c r="A17" t="inlineStr">
        <is>
          <t>Актив_3</t>
        </is>
      </c>
      <c r="B17">
        <f>CORREL('ДОХОДНОСТИ'!D:D</f>
      </c>
      <c r="C17" t="inlineStr">
        <is>
          <t>'ДОХОДНОСТИ'!B:B)</t>
        </is>
      </c>
      <c r="D17">
        <f>CORREL('ДОХОДНОСТИ'!D:D</f>
      </c>
      <c r="E17" t="inlineStr">
        <is>
          <t>'ДОХОДНОСТИ'!C:C)</t>
        </is>
      </c>
      <c r="F17">
        <f>CORREL('ДОХОДНОСТИ'!D:D</f>
      </c>
      <c r="G17" t="inlineStr">
        <is>
          <t>'ДОХОДНОСТИ'!D:D)</t>
        </is>
      </c>
      <c r="H17">
        <f>CORREL('ДОХОДНОСТИ'!D:D</f>
      </c>
      <c r="I17" t="inlineStr">
        <is>
          <t>'ДОХОДНОСТИ'!E:E)</t>
        </is>
      </c>
      <c r="J17">
        <f>CORREL('ДОХОДНОСТИ'!D:D</f>
      </c>
      <c r="K17" t="inlineStr">
        <is>
          <t>'ДОХОДНОСТИ'!F:F)</t>
        </is>
      </c>
    </row>
    <row r="18">
      <c r="A18" t="inlineStr">
        <is>
          <t>Актив_4</t>
        </is>
      </c>
      <c r="B18">
        <f>CORREL('ДОХОДНОСТИ'!E:E</f>
      </c>
      <c r="C18" t="inlineStr">
        <is>
          <t>'ДОХОДНОСТИ'!B:B)</t>
        </is>
      </c>
      <c r="D18">
        <f>CORREL('ДОХОДНОСТИ'!E:E</f>
      </c>
      <c r="E18" t="inlineStr">
        <is>
          <t>'ДОХОДНОСТИ'!C:C)</t>
        </is>
      </c>
      <c r="F18">
        <f>CORREL('ДОХОДНОСТИ'!E:E</f>
      </c>
      <c r="G18" t="inlineStr">
        <is>
          <t>'ДОХОДНОСТИ'!D:D)</t>
        </is>
      </c>
      <c r="H18">
        <f>CORREL('ДОХОДНОСТИ'!E:E</f>
      </c>
      <c r="I18" t="inlineStr">
        <is>
          <t>'ДОХОДНОСТИ'!E:E)</t>
        </is>
      </c>
      <c r="J18">
        <f>CORREL('ДОХОДНОСТИ'!E:E</f>
      </c>
      <c r="K18" t="inlineStr">
        <is>
          <t>'ДОХОДНОСТИ'!F:F)</t>
        </is>
      </c>
    </row>
    <row r="19">
      <c r="A19" t="inlineStr">
        <is>
          <t>Актив_5</t>
        </is>
      </c>
      <c r="B19">
        <f>CORREL('ДОХОДНОСТИ'!F:F</f>
      </c>
      <c r="C19" t="inlineStr">
        <is>
          <t>'ДОХОДНОСТИ'!B:B)</t>
        </is>
      </c>
      <c r="D19">
        <f>CORREL('ДОХОДНОСТИ'!F:F</f>
      </c>
      <c r="E19" t="inlineStr">
        <is>
          <t>'ДОХОДНОСТИ'!C:C)</t>
        </is>
      </c>
      <c r="F19">
        <f>CORREL('ДОХОДНОСТИ'!F:F</f>
      </c>
      <c r="G19" t="inlineStr">
        <is>
          <t>'ДОХОДНОСТИ'!D:D)</t>
        </is>
      </c>
      <c r="H19">
        <f>CORREL('ДОХОДНОСТИ'!F:F</f>
      </c>
      <c r="I19" t="inlineStr">
        <is>
          <t>'ДОХОДНОСТИ'!E:E)</t>
        </is>
      </c>
      <c r="J19">
        <f>CORREL('ДОХОДНОСТИ'!F:F</f>
      </c>
      <c r="K19" t="inlineStr">
        <is>
          <t>'ДОХОДНОСТИ'!F:F)</t>
        </is>
      </c>
    </row>
    <row r="20"/>
    <row r="21">
      <c r="A21" t="inlineStr">
        <is>
          <t>Ковариационная_матрица</t>
        </is>
      </c>
    </row>
    <row r="22">
      <c r="B22" t="inlineStr">
        <is>
          <t>Актив_1</t>
        </is>
      </c>
      <c r="C22" t="inlineStr">
        <is>
          <t>Актив_2</t>
        </is>
      </c>
      <c r="D22" t="inlineStr">
        <is>
          <t>Актив_3</t>
        </is>
      </c>
      <c r="E22" t="inlineStr">
        <is>
          <t>Актив_4</t>
        </is>
      </c>
      <c r="F22" t="inlineStr">
        <is>
          <t>Актив_5</t>
        </is>
      </c>
    </row>
    <row r="23">
      <c r="A23" t="inlineStr">
        <is>
          <t>Актив_1</t>
        </is>
      </c>
      <c r="B23">
        <f>COVARIANCE.S('ДОХОДНОСТИ'!B:B</f>
      </c>
      <c r="C23" t="inlineStr">
        <is>
          <t>'ДОХОДНОСТИ'!B:B)</t>
        </is>
      </c>
      <c r="D23">
        <f>COVARIANCE.S('ДОХОДНОСТИ'!B:B</f>
      </c>
      <c r="E23" t="inlineStr">
        <is>
          <t>'ДОХОДНОСТИ'!C:C)</t>
        </is>
      </c>
      <c r="F23">
        <f>COVARIANCE.S('ДОХОДНОСТИ'!B:B</f>
      </c>
      <c r="G23" t="inlineStr">
        <is>
          <t>'ДОХОДНОСТИ'!D:D)</t>
        </is>
      </c>
      <c r="H23">
        <f>COVARIANCE.S('ДОХОДНОСТИ'!B:B</f>
      </c>
      <c r="I23" t="inlineStr">
        <is>
          <t>'ДОХОДНОСТИ'!E:E)</t>
        </is>
      </c>
      <c r="J23">
        <f>COVARIANCE.S('ДОХОДНОСТИ'!B:B</f>
      </c>
      <c r="K23" t="inlineStr">
        <is>
          <t>'ДОХОДНОСТИ'!F:F)</t>
        </is>
      </c>
    </row>
    <row r="24">
      <c r="A24" t="inlineStr">
        <is>
          <t>Актив_2</t>
        </is>
      </c>
      <c r="B24">
        <f>COVARIANCE.S('ДОХОДНОСТИ'!C:C</f>
      </c>
      <c r="C24" t="inlineStr">
        <is>
          <t>'ДОХОДНОСТИ'!B:B)</t>
        </is>
      </c>
      <c r="D24">
        <f>COVARIANCE.S('ДОХОДНОСТИ'!C:C</f>
      </c>
      <c r="E24" t="inlineStr">
        <is>
          <t>'ДОХОДНОСТИ'!C:C)</t>
        </is>
      </c>
      <c r="F24">
        <f>COVARIANCE.S('ДОХОДНОСТИ'!C:C</f>
      </c>
      <c r="G24" t="inlineStr">
        <is>
          <t>'ДОХОДНОСТИ'!D:D)</t>
        </is>
      </c>
      <c r="H24">
        <f>COVARIANCE.S('ДОХОДНОСТИ'!C:C</f>
      </c>
      <c r="I24" t="inlineStr">
        <is>
          <t>'ДОХОДНОСТИ'!E:E)</t>
        </is>
      </c>
      <c r="J24">
        <f>COVARIANCE.S('ДОХОДНОСТИ'!C:C</f>
      </c>
      <c r="K24" t="inlineStr">
        <is>
          <t>'ДОХОДНОСТИ'!F:F)</t>
        </is>
      </c>
    </row>
    <row r="25">
      <c r="A25" t="inlineStr">
        <is>
          <t>Актив_3</t>
        </is>
      </c>
      <c r="B25">
        <f>COVARIANCE.S('ДОХОДНОСТИ'!D:D</f>
      </c>
      <c r="C25" t="inlineStr">
        <is>
          <t>'ДОХОДНОСТИ'!B:B)</t>
        </is>
      </c>
      <c r="D25">
        <f>COVARIANCE.S('ДОХОДНОСТИ'!D:D</f>
      </c>
      <c r="E25" t="inlineStr">
        <is>
          <t>'ДОХОДНОСТИ'!C:C)</t>
        </is>
      </c>
      <c r="F25">
        <f>COVARIANCE.S('ДОХОДНОСТИ'!D:D</f>
      </c>
      <c r="G25" t="inlineStr">
        <is>
          <t>'ДОХОДНОСТИ'!D:D)</t>
        </is>
      </c>
      <c r="H25">
        <f>COVARIANCE.S('ДОХОДНОСТИ'!D:D</f>
      </c>
      <c r="I25" t="inlineStr">
        <is>
          <t>'ДОХОДНОСТИ'!E:E)</t>
        </is>
      </c>
      <c r="J25">
        <f>COVARIANCE.S('ДОХОДНОСТИ'!D:D</f>
      </c>
      <c r="K25" t="inlineStr">
        <is>
          <t>'ДОХОДНОСТИ'!F:F)</t>
        </is>
      </c>
    </row>
    <row r="26">
      <c r="A26" t="inlineStr">
        <is>
          <t>Актив_4</t>
        </is>
      </c>
      <c r="B26">
        <f>COVARIANCE.S('ДОХОДНОСТИ'!E:E</f>
      </c>
      <c r="C26" t="inlineStr">
        <is>
          <t>'ДОХОДНОСТИ'!B:B)</t>
        </is>
      </c>
      <c r="D26">
        <f>COVARIANCE.S('ДОХОДНОСТИ'!E:E</f>
      </c>
      <c r="E26" t="inlineStr">
        <is>
          <t>'ДОХОДНОСТИ'!C:C)</t>
        </is>
      </c>
      <c r="F26">
        <f>COVARIANCE.S('ДОХОДНОСТИ'!E:E</f>
      </c>
      <c r="G26" t="inlineStr">
        <is>
          <t>'ДОХОДНОСТИ'!D:D)</t>
        </is>
      </c>
      <c r="H26">
        <f>COVARIANCE.S('ДОХОДНОСТИ'!E:E</f>
      </c>
      <c r="I26" t="inlineStr">
        <is>
          <t>'ДОХОДНОСТИ'!E:E)</t>
        </is>
      </c>
      <c r="J26">
        <f>COVARIANCE.S('ДОХОДНОСТИ'!E:E</f>
      </c>
      <c r="K26" t="inlineStr">
        <is>
          <t>'ДОХОДНОСТИ'!F:F)</t>
        </is>
      </c>
    </row>
    <row r="27">
      <c r="A27" t="inlineStr">
        <is>
          <t>Актив_5</t>
        </is>
      </c>
      <c r="B27">
        <f>COVARIANCE.S('ДОХОДНОСТИ'!F:F</f>
      </c>
      <c r="C27" t="inlineStr">
        <is>
          <t>'ДОХОДНОСТИ'!B:B)</t>
        </is>
      </c>
      <c r="D27">
        <f>COVARIANCE.S('ДОХОДНОСТИ'!F:F</f>
      </c>
      <c r="E27" t="inlineStr">
        <is>
          <t>'ДОХОДНОСТИ'!C:C)</t>
        </is>
      </c>
      <c r="F27">
        <f>COVARIANCE.S('ДОХОДНОСТИ'!F:F</f>
      </c>
      <c r="G27" t="inlineStr">
        <is>
          <t>'ДОХОДНОСТИ'!D:D)</t>
        </is>
      </c>
      <c r="H27">
        <f>COVARIANCE.S('ДОХОДНОСТИ'!F:F</f>
      </c>
      <c r="I27" t="inlineStr">
        <is>
          <t>'ДОХОДНОСТИ'!E:E)</t>
        </is>
      </c>
      <c r="J27">
        <f>COVARIANCE.S('ДОХОДНОСТИ'!F:F</f>
      </c>
      <c r="K27" t="inlineStr">
        <is>
          <t>'ДОХОДНОСТИ'!F:F)</t>
        </is>
      </c>
    </row>
  </sheetData>
</worksheet>
</file>

<file path=xl/worksheets/sheet4.xml><?xml version="1.0" encoding="utf-8"?>
<worksheet xmlns="http://schemas.openxmlformats.org/spreadsheetml/2006/main">
  <dimension ref="A1:D15"/>
  <sheetData>
    <row r="1">
      <c r="A1" t="inlineStr">
        <is>
          <t>Параметр</t>
        </is>
      </c>
      <c r="B1" t="inlineStr">
        <is>
          <t>Значение</t>
        </is>
      </c>
      <c r="C1" t="inlineStr">
        <is>
          <t>Примечание</t>
        </is>
      </c>
    </row>
    <row r="2">
      <c r="A2" t="inlineStr">
        <is>
          <t>Веса</t>
        </is>
      </c>
    </row>
    <row r="3">
      <c r="A3" t="inlineStr">
        <is>
          <t>Вес_Актив_1</t>
        </is>
      </c>
      <c r="B3">
        <v>0.2</v>
      </c>
    </row>
    <row r="4">
      <c r="A4" t="inlineStr">
        <is>
          <t>Вес_Актив_2</t>
        </is>
      </c>
      <c r="B4">
        <v>0.2</v>
      </c>
    </row>
    <row r="5">
      <c r="A5" t="inlineStr">
        <is>
          <t>Вес_Актив_3</t>
        </is>
      </c>
      <c r="B5">
        <v>0.2</v>
      </c>
    </row>
    <row r="6">
      <c r="A6" t="inlineStr">
        <is>
          <t>Вес_Актив_4</t>
        </is>
      </c>
      <c r="B6">
        <v>0.2</v>
      </c>
    </row>
    <row r="7">
      <c r="A7" t="inlineStr">
        <is>
          <t>Вес_Актив_5</t>
        </is>
      </c>
      <c r="B7">
        <v>0.2</v>
      </c>
    </row>
    <row r="8"/>
    <row r="9">
      <c r="A9" t="inlineStr">
        <is>
          <t>Доходность_портфеля</t>
        </is>
      </c>
      <c r="B9">
        <f>SUMPRODUCT(B3:B7</f>
      </c>
      <c r="C9" t="inlineStr">
        <is>
          <t>'СТАТИСТИКА'!B4:F4)</t>
        </is>
      </c>
    </row>
    <row r="10">
      <c r="A10" t="inlineStr">
        <is>
          <t>Риск_портфеля</t>
        </is>
      </c>
      <c r="B10">
        <f>SQRT(MMULT(MMULT(TRANSPOSE(B3:B7)</f>
      </c>
      <c r="C10" t="inlineStr">
        <is>
          <t>'СТАТИСТИКА'!B23:F27)</t>
        </is>
      </c>
      <c r="D10" t="inlineStr">
        <is>
          <t>B3:B7))</t>
        </is>
      </c>
    </row>
    <row r="11">
      <c r="A11" t="inlineStr">
        <is>
          <t>Коэф_Шарпа_год</t>
        </is>
      </c>
      <c r="B11">
        <f>(B9-'СТАТИСТИКА'!B9)/B10</f>
      </c>
    </row>
    <row r="12">
      <c r="A12" t="inlineStr">
        <is>
          <t>Доля_риска_CML</t>
        </is>
      </c>
      <c r="B12">
        <f>'СТАТИСТИКА'!B11/B10</f>
      </c>
    </row>
    <row r="13">
      <c r="A13" t="inlineStr">
        <is>
          <t>Доля_кэш</t>
        </is>
      </c>
      <c r="B13">
        <f>1-B12</f>
      </c>
    </row>
    <row r="14">
      <c r="A14" t="inlineStr">
        <is>
          <t>Смешанная_доходность</t>
        </is>
      </c>
      <c r="B14">
        <f>B12*B9 + B13*'СТАТИСТИКА'!B9</f>
      </c>
    </row>
    <row r="15">
      <c r="A15" t="inlineStr">
        <is>
          <t>Смешанный_риск</t>
        </is>
      </c>
      <c r="B15">
        <f>B12*B10</f>
      </c>
    </row>
  </sheetData>
</worksheet>
</file>